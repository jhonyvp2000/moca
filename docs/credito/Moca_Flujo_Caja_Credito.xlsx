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LUJO_MENSUAL" sheetId="2" state="visible" r:id="rId2"/>
    <sheet xmlns:r="http://schemas.openxmlformats.org/officeDocument/2006/relationships" name="EXCEDENTE_FAMILIAR" sheetId="3" state="visible" r:id="rId3"/>
    <sheet xmlns:r="http://schemas.openxmlformats.org/officeDocument/2006/relationships" name="RESUMEN_CREDI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color rgb="001F3864"/>
      <sz val="10"/>
    </font>
    <font>
      <name val="Calibri"/>
      <i val="1"/>
      <color rgb="00595959"/>
      <sz val="10"/>
    </font>
    <font>
      <name val="Calibri"/>
      <color rgb="00595959"/>
      <sz val="10"/>
    </font>
    <font>
      <name val="Calibri"/>
      <color rgb="001D6A45"/>
      <sz val="10"/>
    </font>
    <font>
      <name val="Calibri"/>
      <b val="1"/>
      <color rgb="00FFFFFF"/>
      <sz val="13"/>
    </font>
    <font>
      <name val="Calibri"/>
      <i val="1"/>
      <color rgb="00000000"/>
      <sz val="9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i val="1"/>
      <color rgb="002E75B6"/>
      <sz val="9"/>
    </font>
    <font>
      <name val="Calibri"/>
      <b val="1"/>
      <color rgb="001D6A45"/>
      <sz val="10"/>
    </font>
    <font>
      <name val="Calibri"/>
      <b val="1"/>
      <color rgb="00C00000"/>
      <sz val="10"/>
    </font>
    <font>
      <name val="Calibri"/>
      <i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1D6A45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DECE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0" borderId="0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1" fillId="8" borderId="0" applyAlignment="1" pivotButton="0" quotePrefix="0" xfId="0">
      <alignment horizontal="left" vertical="center"/>
    </xf>
    <xf numFmtId="4" fontId="11" fillId="8" borderId="2" applyAlignment="1" pivotButton="0" quotePrefix="0" xfId="0">
      <alignment horizontal="right" vertical="center"/>
    </xf>
    <xf numFmtId="4" fontId="11" fillId="8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left" vertical="center"/>
    </xf>
    <xf numFmtId="4" fontId="11" fillId="9" borderId="2" applyAlignment="1" pivotButton="0" quotePrefix="0" xfId="0">
      <alignment horizontal="right" vertical="center"/>
    </xf>
    <xf numFmtId="4" fontId="11" fillId="9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0" fillId="6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3" fillId="0" borderId="1" pivotButton="0" quotePrefix="0" xfId="0"/>
    <xf numFmtId="4" fontId="0" fillId="7" borderId="1" applyAlignment="1" pivotButton="0" quotePrefix="0" xfId="0">
      <alignment horizontal="right" vertical="center"/>
    </xf>
    <xf numFmtId="0" fontId="16" fillId="10" borderId="1" pivotButton="0" quotePrefix="0" xfId="0"/>
    <xf numFmtId="4" fontId="16" fillId="10" borderId="1" applyAlignment="1" pivotButton="0" quotePrefix="0" xfId="0">
      <alignment horizontal="right" vertical="center"/>
    </xf>
    <xf numFmtId="0" fontId="17" fillId="11" borderId="1" pivotButton="0" quotePrefix="0" xfId="0"/>
    <xf numFmtId="4" fontId="17" fillId="11" borderId="1" applyAlignment="1" pivotButton="0" quotePrefix="0" xfId="0">
      <alignment horizontal="right" vertical="center"/>
    </xf>
    <xf numFmtId="0" fontId="7" fillId="0" borderId="0" pivotButton="0" quotePrefix="0" xfId="0"/>
    <xf numFmtId="0" fontId="14" fillId="0" borderId="0" pivotButton="0" quotePrefix="0" xfId="0"/>
    <xf numFmtId="0" fontId="18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PLANTILLA DE FLUJO DE CAJA MENSUAL – CRÉDITO EMPRESARIAL</t>
        </is>
      </c>
    </row>
    <row r="2" ht="16" customHeight="1">
      <c r="A2" s="2" t="inlineStr">
        <is>
          <t>Publisher Online E.I.R.L. · Tarapoto, San Martín · Octubre 2026</t>
        </is>
      </c>
    </row>
    <row r="5" ht="16" customHeight="1">
      <c r="A5" s="3" t="inlineStr"/>
      <c r="B5" s="3" t="inlineStr"/>
    </row>
    <row r="6" ht="22" customHeight="1">
      <c r="A6" s="4" t="inlineStr">
        <is>
          <t>¿QUÉ ES ESTA PLANTILLA?</t>
        </is>
      </c>
      <c r="B6" s="5" t="inlineStr">
        <is>
          <t>Un flujo de caja mensual que demuestra a bancos, cajas y financieras
que tu negocio genera suficiente excedente para pagar una cuota de crédito.</t>
        </is>
      </c>
    </row>
    <row r="7" ht="16" customHeight="1">
      <c r="A7" s="3" t="inlineStr"/>
      <c r="B7" s="3" t="inlineStr"/>
    </row>
    <row r="8" ht="16" customHeight="1">
      <c r="A8" s="4" t="inlineStr">
        <is>
          <t>HOJAS DE ESTE ARCHIVO</t>
        </is>
      </c>
      <c r="B8" s="5" t="inlineStr"/>
    </row>
    <row r="9" ht="16" customHeight="1">
      <c r="A9" s="6" t="inlineStr">
        <is>
          <t xml:space="preserve">  INSTRUCCIONES</t>
        </is>
      </c>
      <c r="B9" s="7" t="inlineStr">
        <is>
          <t>Esta hoja — léela primero.</t>
        </is>
      </c>
    </row>
    <row r="10" ht="16" customHeight="1">
      <c r="A10" s="6" t="inlineStr">
        <is>
          <t xml:space="preserve">  FLUJO_MENSUAL</t>
        </is>
      </c>
      <c r="B10" s="7" t="inlineStr">
        <is>
          <t>Ingresa tus ingresos y gastos de los últimos 6 meses.</t>
        </is>
      </c>
    </row>
    <row r="11" ht="16" customHeight="1">
      <c r="A11" s="6" t="inlineStr">
        <is>
          <t xml:space="preserve">  EXCEDENTE_FAMILIAR</t>
        </is>
      </c>
      <c r="B11" s="7" t="inlineStr">
        <is>
          <t>Registra los gastos del hogar para calcular tu capacidad de pago real.</t>
        </is>
      </c>
    </row>
    <row r="12" ht="16" customHeight="1">
      <c r="A12" s="6" t="inlineStr">
        <is>
          <t xml:space="preserve">  RESUMEN_CREDITO</t>
        </is>
      </c>
      <c r="B12" s="7" t="inlineStr">
        <is>
          <t>Hoja automática que calcula cuánto puedes pedir y en cuántas cuotas.</t>
        </is>
      </c>
    </row>
    <row r="13" ht="16" customHeight="1">
      <c r="A13" s="3" t="inlineStr"/>
      <c r="B13" s="3" t="inlineStr"/>
    </row>
    <row r="14" ht="16" customHeight="1">
      <c r="A14" s="4" t="inlineStr">
        <is>
          <t>CÓMO LLENAR LA HOJA FLUJO_MENSUAL</t>
        </is>
      </c>
      <c r="B14" s="5" t="inlineStr"/>
    </row>
    <row r="15" ht="16" customHeight="1">
      <c r="A15" s="6" t="inlineStr">
        <is>
          <t xml:space="preserve">  1. Coloca los meses reales</t>
        </is>
      </c>
      <c r="B15" s="7" t="inlineStr">
        <is>
          <t>Ej: "Mar 2026", "Abr 2026", etc.</t>
        </is>
      </c>
    </row>
    <row r="16" ht="16" customHeight="1">
      <c r="A16" s="6" t="inlineStr">
        <is>
          <t xml:space="preserve">  2. Llena solo las celdas AMARILLAS</t>
        </is>
      </c>
      <c r="B16" s="7" t="inlineStr">
        <is>
          <t>Las celdas grises tienen fórmulas — no las borres.</t>
        </is>
      </c>
    </row>
    <row r="17" ht="16" customHeight="1">
      <c r="A17" s="6" t="inlineStr">
        <is>
          <t xml:space="preserve">  3. Si un rubro no aplica</t>
        </is>
      </c>
      <c r="B17" s="7" t="inlineStr">
        <is>
          <t>Deja la celda en 0.</t>
        </is>
      </c>
    </row>
    <row r="18" ht="16" customHeight="1">
      <c r="A18" s="6" t="inlineStr">
        <is>
          <t xml:space="preserve">  4. Usa los datos reales</t>
        </is>
      </c>
      <c r="B18" s="7" t="inlineStr">
        <is>
          <t>Mercado, facturas, cuaderno de ventas, resúmenes Yape/Plin.</t>
        </is>
      </c>
    </row>
    <row r="19" ht="16" customHeight="1">
      <c r="A19" s="3" t="inlineStr"/>
      <c r="B19" s="3" t="inlineStr"/>
    </row>
    <row r="20" ht="22" customHeight="1">
      <c r="A20" s="4" t="inlineStr">
        <is>
          <t>REGLA CLAVE DEL EVALUADOR</t>
        </is>
      </c>
      <c r="B20" s="5" t="inlineStr">
        <is>
          <t>Cuota mensual ≤ 40 % del Excedente Neto
La hoja RESUMEN_CREDITO calcula esto automáticamente con un semáforo.</t>
        </is>
      </c>
    </row>
    <row r="21" ht="16" customHeight="1">
      <c r="A21" s="3" t="inlineStr"/>
      <c r="B21" s="3" t="inlineStr"/>
    </row>
    <row r="22" ht="16" customHeight="1">
      <c r="A22" s="4" t="inlineStr">
        <is>
          <t>DOCUMENTOS QUE ACOMPAÑAN ESTE FLUJO</t>
        </is>
      </c>
      <c r="B22" s="5" t="inlineStr"/>
    </row>
    <row r="23" ht="16" customHeight="1">
      <c r="A23" s="8" t="inlineStr">
        <is>
          <t xml:space="preserve">  ☑ DNI del titular (y cónyuge si aplica)</t>
        </is>
      </c>
      <c r="B23" s="9" t="inlineStr"/>
    </row>
    <row r="24" ht="16" customHeight="1">
      <c r="A24" s="8" t="inlineStr">
        <is>
          <t xml:space="preserve">  ☑ Recibo de agua, luz o contrato de arrendamiento del local</t>
        </is>
      </c>
      <c r="B24" s="9" t="inlineStr"/>
    </row>
    <row r="25" ht="16" customHeight="1">
      <c r="A25" s="8" t="inlineStr">
        <is>
          <t xml:space="preserve">  ☑ 3 últimas boletas / facturas de compra a proveedores</t>
        </is>
      </c>
      <c r="B25" s="9" t="inlineStr"/>
    </row>
    <row r="26" ht="16" customHeight="1">
      <c r="A26" s="8" t="inlineStr">
        <is>
          <t xml:space="preserve">  ☑ Cuaderno de ventas o extracto Yape/Plin de 3 meses</t>
        </is>
      </c>
      <c r="B26" s="9" t="inlineStr"/>
    </row>
    <row r="27" ht="16" customHeight="1">
      <c r="A27" s="8" t="inlineStr">
        <is>
          <t xml:space="preserve">  ☑ Declaración Jurada de ingresos (SUNAT o la entidad la da)</t>
        </is>
      </c>
      <c r="B27" s="9" t="inlineStr"/>
    </row>
    <row r="28" ht="16" customHeight="1">
      <c r="A28" s="8" t="inlineStr">
        <is>
          <t xml:space="preserve">  ☑ Si tienes deudas activas: cronograma de pagos vigente</t>
        </is>
      </c>
      <c r="B28" s="9" t="inlineStr"/>
    </row>
    <row r="29" ht="16" customHeight="1">
      <c r="A29" s="3" t="inlineStr"/>
      <c r="B29" s="3" t="inlineStr"/>
    </row>
    <row r="30" ht="22" customHeight="1">
      <c r="A30" s="4" t="inlineStr">
        <is>
          <t>NOTA IMPORTANTE</t>
        </is>
      </c>
      <c r="B30" s="5" t="inlineStr">
        <is>
          <t>Esta plantilla NO reemplaza la visita del asesor de crédito.
Preséntala como apoyo para ordenar tu información.</t>
        </is>
      </c>
    </row>
  </sheetData>
  <mergeCells count="28">
    <mergeCell ref="B14:G14"/>
    <mergeCell ref="B17:G17"/>
    <mergeCell ref="B23:G23"/>
    <mergeCell ref="B8:G8"/>
    <mergeCell ref="B13:G13"/>
    <mergeCell ref="B29:G29"/>
    <mergeCell ref="B19:G19"/>
    <mergeCell ref="B10:G10"/>
    <mergeCell ref="B28:G28"/>
    <mergeCell ref="B9:G9"/>
    <mergeCell ref="B30:G30"/>
    <mergeCell ref="B15:G15"/>
    <mergeCell ref="B6:G6"/>
    <mergeCell ref="B24:G24"/>
    <mergeCell ref="B20:G20"/>
    <mergeCell ref="A1:G1"/>
    <mergeCell ref="B5:G5"/>
    <mergeCell ref="B26:G26"/>
    <mergeCell ref="B7:G7"/>
    <mergeCell ref="B25:G25"/>
    <mergeCell ref="B16:G16"/>
    <mergeCell ref="B22:G22"/>
    <mergeCell ref="B27:G27"/>
    <mergeCell ref="A2:G2"/>
    <mergeCell ref="B12:G12"/>
    <mergeCell ref="B18:G18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0" t="inlineStr">
        <is>
          <t>FLUJO DE CAJA MENSUAL DEL NEGOCIO</t>
        </is>
      </c>
    </row>
    <row r="2" ht="18" customHeight="1">
      <c r="A2" s="11" t="inlineStr">
        <is>
          <t>Nombre del negocio: ___________________________    Propietario: ___________________________    RUC/DNI: ________________</t>
        </is>
      </c>
    </row>
    <row r="3" ht="20" customHeight="1">
      <c r="A3" s="12" t="inlineStr">
        <is>
          <t>CONCEPTO</t>
        </is>
      </c>
      <c r="B3" s="12" t="inlineStr">
        <is>
          <t>Mes 1</t>
        </is>
      </c>
      <c r="C3" s="12" t="inlineStr">
        <is>
          <t>Mes 2</t>
        </is>
      </c>
      <c r="D3" s="12" t="inlineStr">
        <is>
          <t>Mes 3</t>
        </is>
      </c>
      <c r="E3" s="12" t="inlineStr">
        <is>
          <t>Mes 4</t>
        </is>
      </c>
      <c r="F3" s="12" t="inlineStr">
        <is>
          <t>Mes 5</t>
        </is>
      </c>
      <c r="G3" s="12" t="inlineStr">
        <is>
          <t>Mes 6</t>
        </is>
      </c>
      <c r="H3" s="13" t="inlineStr">
        <is>
          <t>PROMEDIO</t>
        </is>
      </c>
    </row>
    <row r="4" ht="17" customHeight="1">
      <c r="A4" s="14" t="inlineStr">
        <is>
          <t>▶  INGRESOS DEL NEGOCIO</t>
        </is>
      </c>
      <c r="B4" s="15" t="n"/>
      <c r="C4" s="15" t="n"/>
      <c r="D4" s="15" t="n"/>
      <c r="E4" s="15" t="n"/>
      <c r="F4" s="15" t="n"/>
      <c r="G4" s="15" t="n"/>
      <c r="H4" s="15" t="n"/>
    </row>
    <row r="5" ht="17" customHeight="1">
      <c r="A5" s="16" t="inlineStr">
        <is>
          <t>Ventas al contado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8">
        <f>AVERAGE(B5,C5,D5,E5,F5,G5)</f>
        <v/>
      </c>
    </row>
    <row r="6" ht="17" customHeight="1">
      <c r="A6" s="16" t="inlineStr">
        <is>
          <t>Ventas al crédito cobradas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8">
        <f>AVERAGE(B6,C6,D6,E6,F6,G6)</f>
        <v/>
      </c>
    </row>
    <row r="7" ht="17" customHeight="1">
      <c r="A7" s="16" t="inlineStr">
        <is>
          <t>Otros ingresos operativos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8">
        <f>AVERAGE(B7,C7,D7,E7,F7,G7)</f>
        <v/>
      </c>
    </row>
    <row r="8" ht="17" customHeight="1">
      <c r="A8" s="16" t="inlineStr">
        <is>
          <t>Ingresos extraordinarios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8">
        <f>AVERAGE(B8,C8,D8,E8,F8,G8)</f>
        <v/>
      </c>
    </row>
    <row r="9" ht="20" customHeight="1">
      <c r="A9" s="19" t="inlineStr">
        <is>
          <t>TOTAL INGRESOS</t>
        </is>
      </c>
      <c r="B9" s="20">
        <f>B5+B6+B7+B8</f>
        <v/>
      </c>
      <c r="C9" s="20">
        <f>C5+C6+C7+C8</f>
        <v/>
      </c>
      <c r="D9" s="20">
        <f>D5+D6+D7+D8</f>
        <v/>
      </c>
      <c r="E9" s="20">
        <f>E5+E6+E7+E8</f>
        <v/>
      </c>
      <c r="F9" s="20">
        <f>F5+F6+F7+F8</f>
        <v/>
      </c>
      <c r="G9" s="20">
        <f>G5+G6+G7+G8</f>
        <v/>
      </c>
      <c r="H9" s="21">
        <f>AVERAGE(B9,C9,D9,E9,F9,G9)</f>
        <v/>
      </c>
    </row>
    <row r="10" ht="17" customHeight="1"/>
    <row r="11" ht="17" customHeight="1">
      <c r="A11" s="14" t="inlineStr">
        <is>
          <t>▶  COSTOS VARIABLES (varían con ventas)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 ht="17" customHeight="1">
      <c r="A12" s="16" t="inlineStr">
        <is>
          <t>Compra de mercadería / materia prima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8">
        <f>AVERAGE(B12,C12,D12,E12,F12,G12)</f>
        <v/>
      </c>
    </row>
    <row r="13" ht="17" customHeight="1">
      <c r="A13" s="16" t="inlineStr">
        <is>
          <t>Envases, empaques, materiales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8">
        <f>AVERAGE(B13,C13,D13,E13,F13,G13)</f>
        <v/>
      </c>
    </row>
    <row r="14" ht="17" customHeight="1">
      <c r="A14" s="16" t="inlineStr">
        <is>
          <t>Fletes y transporte de compras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8">
        <f>AVERAGE(B14,C14,D14,E14,F14,G14)</f>
        <v/>
      </c>
    </row>
    <row r="15" ht="20" customHeight="1">
      <c r="A15" s="22" t="inlineStr">
        <is>
          <t>TOTAL COSTOS VARIABLES</t>
        </is>
      </c>
      <c r="B15" s="23">
        <f>B12+B13+B14</f>
        <v/>
      </c>
      <c r="C15" s="23">
        <f>C12+C13+C14</f>
        <v/>
      </c>
      <c r="D15" s="23">
        <f>D12+D13+D14</f>
        <v/>
      </c>
      <c r="E15" s="23">
        <f>E12+E13+E14</f>
        <v/>
      </c>
      <c r="F15" s="23">
        <f>F12+F13+F14</f>
        <v/>
      </c>
      <c r="G15" s="23">
        <f>G12+G13+G14</f>
        <v/>
      </c>
      <c r="H15" s="24">
        <f>AVERAGE(B15,C15,D15,E15,F15,G15)</f>
        <v/>
      </c>
    </row>
    <row r="16" ht="17" customHeight="1"/>
    <row r="17" ht="17" customHeight="1">
      <c r="A17" s="14" t="inlineStr">
        <is>
          <t>▶  GASTOS FIJOS OPERATIVOS</t>
        </is>
      </c>
      <c r="B17" s="15" t="n"/>
      <c r="C17" s="15" t="n"/>
      <c r="D17" s="15" t="n"/>
      <c r="E17" s="15" t="n"/>
      <c r="F17" s="15" t="n"/>
      <c r="G17" s="15" t="n"/>
      <c r="H17" s="15" t="n"/>
    </row>
    <row r="18" ht="17" customHeight="1">
      <c r="A18" s="16" t="inlineStr">
        <is>
          <t>Alquiler del local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8">
        <f>AVERAGE(B18,C18,D18,E18,F18,G18)</f>
        <v/>
      </c>
    </row>
    <row r="19" ht="17" customHeight="1">
      <c r="A19" s="16" t="inlineStr">
        <is>
          <t>Servicios (luz, agua, internet)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8">
        <f>AVERAGE(B19,C19,D19,E19,F19,G19)</f>
        <v/>
      </c>
    </row>
    <row r="20" ht="17" customHeight="1">
      <c r="A20" s="16" t="inlineStr">
        <is>
          <t>Sueldos y gratificaciones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8">
        <f>AVERAGE(B20,C20,D20,E20,F20,G20)</f>
        <v/>
      </c>
    </row>
    <row r="21" ht="17" customHeight="1">
      <c r="A21" s="16" t="inlineStr">
        <is>
          <t>Publicidad y marketing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8">
        <f>AVERAGE(B21,C21,D21,E21,F21,G21)</f>
        <v/>
      </c>
    </row>
    <row r="22" ht="17" customHeight="1">
      <c r="A22" s="16" t="inlineStr">
        <is>
          <t>Mantenimiento y reparaciones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8">
        <f>AVERAGE(B22,C22,D22,E22,F22,G22)</f>
        <v/>
      </c>
    </row>
    <row r="23" ht="17" customHeight="1">
      <c r="A23" s="16" t="inlineStr">
        <is>
          <t>Contabilidad / gestión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8">
        <f>AVERAGE(B23,C23,D23,E23,F23,G23)</f>
        <v/>
      </c>
    </row>
    <row r="24" ht="17" customHeight="1">
      <c r="A24" s="16" t="inlineStr">
        <is>
          <t>Otros gastos fijos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8">
        <f>AVERAGE(B24,C24,D24,E24,F24,G24)</f>
        <v/>
      </c>
    </row>
    <row r="25" ht="20" customHeight="1">
      <c r="A25" s="22" t="inlineStr">
        <is>
          <t>TOTAL GASTOS FIJOS</t>
        </is>
      </c>
      <c r="B25" s="23">
        <f>B18+B19+B20+B21+B22+B23+B24</f>
        <v/>
      </c>
      <c r="C25" s="23">
        <f>C18+C19+C20+C21+C22+C23+C24</f>
        <v/>
      </c>
      <c r="D25" s="23">
        <f>D18+D19+D20+D21+D22+D23+D24</f>
        <v/>
      </c>
      <c r="E25" s="23">
        <f>E18+E19+E20+E21+E22+E23+E24</f>
        <v/>
      </c>
      <c r="F25" s="23">
        <f>F18+F19+F20+F21+F22+F23+F24</f>
        <v/>
      </c>
      <c r="G25" s="23">
        <f>G18+G19+G20+G21+G22+G23+G24</f>
        <v/>
      </c>
      <c r="H25" s="24">
        <f>AVERAGE(B25,C25,D25,E25,F25,G25)</f>
        <v/>
      </c>
    </row>
    <row r="26" ht="17" customHeight="1"/>
    <row r="27" ht="17" customHeight="1">
      <c r="A27" s="14" t="inlineStr">
        <is>
          <t>▶  PAGOS FINANCIEROS ACTUALES</t>
        </is>
      </c>
      <c r="B27" s="15" t="n"/>
      <c r="C27" s="15" t="n"/>
      <c r="D27" s="15" t="n"/>
      <c r="E27" s="15" t="n"/>
      <c r="F27" s="15" t="n"/>
      <c r="G27" s="15" t="n"/>
      <c r="H27" s="15" t="n"/>
    </row>
    <row r="28" ht="17" customHeight="1">
      <c r="A28" s="16" t="inlineStr">
        <is>
          <t>Cuota crédito 1 (entidad: ________)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8">
        <f>AVERAGE(B28,C28,D28,E28,F28,G28)</f>
        <v/>
      </c>
    </row>
    <row r="29" ht="17" customHeight="1">
      <c r="A29" s="16" t="inlineStr">
        <is>
          <t>Cuota crédito 2 (entidad: ________)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8">
        <f>AVERAGE(B29,C29,D29,E29,F29,G29)</f>
        <v/>
      </c>
    </row>
    <row r="30" ht="17" customHeight="1">
      <c r="A30" s="16" t="inlineStr">
        <is>
          <t>Cuota crédito 3 (entidad: ________)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8">
        <f>AVERAGE(B30,C30,D30,E30,F30,G30)</f>
        <v/>
      </c>
    </row>
    <row r="31" ht="20" customHeight="1">
      <c r="A31" s="22" t="inlineStr">
        <is>
          <t>TOTAL DEUDAS ACTUALES</t>
        </is>
      </c>
      <c r="B31" s="23">
        <f>B28+B29+B30</f>
        <v/>
      </c>
      <c r="C31" s="23">
        <f>C28+C29+C30</f>
        <v/>
      </c>
      <c r="D31" s="23">
        <f>D28+D29+D30</f>
        <v/>
      </c>
      <c r="E31" s="23">
        <f>E28+E29+E30</f>
        <v/>
      </c>
      <c r="F31" s="23">
        <f>F28+F29+F30</f>
        <v/>
      </c>
      <c r="G31" s="23">
        <f>G28+G29+G30</f>
        <v/>
      </c>
      <c r="H31" s="24">
        <f>AVERAGE(B31,C31,D31,E31,F31,G31)</f>
        <v/>
      </c>
    </row>
    <row r="32" ht="17" customHeight="1"/>
    <row r="33" ht="20" customHeight="1">
      <c r="A33" s="22" t="inlineStr">
        <is>
          <t>TOTAL EGRESOS DEL NEGOCIO</t>
        </is>
      </c>
      <c r="B33" s="23">
        <f>0</f>
        <v/>
      </c>
      <c r="C33" s="23">
        <f>0</f>
        <v/>
      </c>
      <c r="D33" s="23">
        <f>0</f>
        <v/>
      </c>
      <c r="E33" s="23">
        <f>0</f>
        <v/>
      </c>
      <c r="F33" s="23">
        <f>0</f>
        <v/>
      </c>
      <c r="G33" s="23">
        <f>0</f>
        <v/>
      </c>
      <c r="H33" s="24">
        <f>AVERAGE(B33,C33,D33,E33,F33,G33)</f>
        <v/>
      </c>
    </row>
    <row r="34" ht="20" customHeight="1">
      <c r="A34" s="22" t="inlineStr">
        <is>
          <t>EXCEDENTE BRUTO DEL NEGOCIO</t>
        </is>
      </c>
      <c r="B34" s="23">
        <f>0</f>
        <v/>
      </c>
      <c r="C34" s="23">
        <f>0</f>
        <v/>
      </c>
      <c r="D34" s="23">
        <f>0</f>
        <v/>
      </c>
      <c r="E34" s="23">
        <f>0</f>
        <v/>
      </c>
      <c r="F34" s="23">
        <f>0</f>
        <v/>
      </c>
      <c r="G34" s="23">
        <f>0</f>
        <v/>
      </c>
      <c r="H34" s="24">
        <f>AVERAGE(B34,C34,D34,E34,F34,G34)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>
      <c r="A1" s="25" t="inlineStr">
        <is>
          <t>GASTOS FAMILIARES Y CAPACIDAD DE PAGO</t>
        </is>
      </c>
    </row>
    <row r="2" ht="17" customHeight="1">
      <c r="A2" s="14" t="inlineStr">
        <is>
          <t>▶  INGRESOS TOTALES DEL HOGAR</t>
        </is>
      </c>
    </row>
    <row r="3" ht="17" customHeight="1">
      <c r="A3" s="26" t="inlineStr">
        <is>
          <t>Excedente bruto negocio (de FLUJO_MENSUAL)</t>
        </is>
      </c>
      <c r="B3" s="27" t="n">
        <v>0</v>
      </c>
      <c r="C3" s="28" t="inlineStr">
        <is>
          <t>Copia el promedio de EXCEDENTE BRUTO</t>
        </is>
      </c>
    </row>
    <row r="4" ht="17" customHeight="1">
      <c r="A4" s="26" t="inlineStr">
        <is>
          <t>Sueldo cónyuge / otro ingreso fijo</t>
        </is>
      </c>
      <c r="B4" s="27" t="n">
        <v>0</v>
      </c>
      <c r="C4" s="28" t="inlineStr">
        <is>
          <t>Si aplica</t>
        </is>
      </c>
    </row>
    <row r="5" ht="17" customHeight="1">
      <c r="A5" s="26" t="inlineStr">
        <is>
          <t>Otros ingresos familiares</t>
        </is>
      </c>
      <c r="B5" s="27" t="n">
        <v>0</v>
      </c>
      <c r="C5" s="28" t="inlineStr">
        <is>
          <t>Alquileres, pensiones, etc.</t>
        </is>
      </c>
    </row>
    <row r="6" ht="17" customHeight="1">
      <c r="A6" s="22" t="inlineStr">
        <is>
          <t>TOTAL INGRESOS FAMILIARES</t>
        </is>
      </c>
      <c r="B6" s="29">
        <f>B3+B4+B5</f>
        <v/>
      </c>
      <c r="C6" s="30" t="inlineStr"/>
    </row>
    <row r="8" ht="17" customHeight="1">
      <c r="A8" s="14" t="inlineStr">
        <is>
          <t>▶  GASTOS FAMILIARES MENSUALES</t>
        </is>
      </c>
    </row>
    <row r="9" ht="17" customHeight="1">
      <c r="A9" s="26" t="inlineStr">
        <is>
          <t>Alimentación</t>
        </is>
      </c>
      <c r="B9" s="27" t="n">
        <v>0</v>
      </c>
      <c r="C9" s="28" t="inlineStr">
        <is>
          <t>Mercado, restaurante, etc.</t>
        </is>
      </c>
    </row>
    <row r="10" ht="17" customHeight="1">
      <c r="A10" s="26" t="inlineStr">
        <is>
          <t>Educación (colegios, universidades)</t>
        </is>
      </c>
      <c r="B10" s="27" t="n">
        <v>0</v>
      </c>
      <c r="C10" s="28" t="inlineStr"/>
    </row>
    <row r="11" ht="17" customHeight="1">
      <c r="A11" s="26" t="inlineStr">
        <is>
          <t>Salud y medicamentos</t>
        </is>
      </c>
      <c r="B11" s="27" t="n">
        <v>0</v>
      </c>
      <c r="C11" s="28" t="inlineStr"/>
    </row>
    <row r="12" ht="17" customHeight="1">
      <c r="A12" s="26" t="inlineStr">
        <is>
          <t>Transporte familiar</t>
        </is>
      </c>
      <c r="B12" s="27" t="n">
        <v>0</v>
      </c>
      <c r="C12" s="28" t="inlineStr"/>
    </row>
    <row r="13" ht="17" customHeight="1">
      <c r="A13" s="26" t="inlineStr">
        <is>
          <t>Servicios del hogar (luz, agua, gas)</t>
        </is>
      </c>
      <c r="B13" s="27" t="n">
        <v>0</v>
      </c>
      <c r="C13" s="28" t="inlineStr"/>
    </row>
    <row r="14" ht="17" customHeight="1">
      <c r="A14" s="26" t="inlineStr">
        <is>
          <t>Alquiler vivienda (si no es propia)</t>
        </is>
      </c>
      <c r="B14" s="27" t="n">
        <v>0</v>
      </c>
      <c r="C14" s="28" t="inlineStr"/>
    </row>
    <row r="15" ht="17" customHeight="1">
      <c r="A15" s="26" t="inlineStr">
        <is>
          <t>Otros gastos del hogar</t>
        </is>
      </c>
      <c r="B15" s="27" t="n">
        <v>0</v>
      </c>
      <c r="C15" s="28" t="inlineStr">
        <is>
          <t>Ropa, entretenimiento, etc.</t>
        </is>
      </c>
    </row>
    <row r="16" ht="17" customHeight="1">
      <c r="A16" s="22" t="inlineStr">
        <is>
          <t>TOTAL GASTOS FAMILIARES</t>
        </is>
      </c>
      <c r="B16" s="29">
        <f>B9+B10+B11+B12+B13+B14+B15</f>
        <v/>
      </c>
      <c r="C16" s="30" t="inlineStr"/>
    </row>
    <row r="18" ht="17" customHeight="1">
      <c r="A18" s="31" t="inlineStr">
        <is>
          <t>EXCEDENTE NETO DISPONIBLE</t>
        </is>
      </c>
      <c r="B18" s="32">
        <f>B6-B16</f>
        <v/>
      </c>
      <c r="C18" s="33" t="inlineStr">
        <is>
          <t>Este es tu verdadero excedente</t>
        </is>
      </c>
    </row>
    <row r="20" ht="17" customHeight="1">
      <c r="A20" s="14" t="inlineStr">
        <is>
          <t>▶  REFERENCIA PARA EL CRÉDITO</t>
        </is>
      </c>
    </row>
    <row r="21" ht="17" customHeight="1">
      <c r="A21" s="26" t="inlineStr">
        <is>
          <t>Excedente Neto (referencia)</t>
        </is>
      </c>
      <c r="B21" s="27">
        <f>B17</f>
        <v/>
      </c>
      <c r="C21" s="28" t="inlineStr">
        <is>
          <t>Auto-calculado</t>
        </is>
      </c>
    </row>
    <row r="22" ht="17" customHeight="1">
      <c r="A22" s="26" t="inlineStr">
        <is>
          <t>Cuota máxima recomendada (40 %)</t>
        </is>
      </c>
      <c r="B22" s="27">
        <f>B20*0.4</f>
        <v/>
      </c>
      <c r="C22" s="28" t="inlineStr">
        <is>
          <t>40% del excedente neto</t>
        </is>
      </c>
    </row>
    <row r="23" ht="17" customHeight="1">
      <c r="A23" s="26" t="inlineStr">
        <is>
          <t>Cuota máxima con entidad flexible (50%).</t>
        </is>
      </c>
      <c r="B23" s="27">
        <f>B20*0.5</f>
        <v/>
      </c>
      <c r="C23" s="28" t="inlineStr">
        <is>
          <t>Algunas cajas aceptan hasta 50%</t>
        </is>
      </c>
    </row>
  </sheetData>
  <mergeCells count="4">
    <mergeCell ref="A1:C1"/>
    <mergeCell ref="A20:C20"/>
    <mergeCell ref="A8:C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8" customWidth="1" min="3" max="3"/>
  </cols>
  <sheetData>
    <row r="1" ht="28" customHeight="1">
      <c r="A1" s="10" t="inlineStr">
        <is>
          <t>RESUMEN PARA SOLICITUD DE CRÉDITO</t>
        </is>
      </c>
    </row>
    <row r="2" ht="16" customHeight="1">
      <c r="A2" s="34" t="inlineStr">
        <is>
          <t>Esta hoja calcula automáticamente tu capacidad de endeudamiento</t>
        </is>
      </c>
    </row>
    <row r="3" ht="18" customHeight="1">
      <c r="A3" s="14" t="inlineStr">
        <is>
          <t>▶  DATOS CLAVE DE TU FLUJO</t>
        </is>
      </c>
    </row>
    <row r="4" ht="18" customHeight="1">
      <c r="A4" s="35" t="inlineStr">
        <is>
          <t>Excedente Bruto Promedio (negocio)</t>
        </is>
      </c>
      <c r="B4" s="36">
        <f>FLUJO_MENSUAL!H99</f>
        <v/>
      </c>
      <c r="C4" s="28" t="inlineStr">
        <is>
          <t>Promedio de 6 meses del negocio</t>
        </is>
      </c>
    </row>
    <row r="5" ht="18" customHeight="1">
      <c r="A5" s="35" t="inlineStr">
        <is>
          <t>Gastos Familiares Mensuales</t>
        </is>
      </c>
      <c r="B5" s="36">
        <f>EXCEDENTE_FAMILIAR!B16</f>
        <v/>
      </c>
      <c r="C5" s="28" t="inlineStr">
        <is>
          <t>Del hogar</t>
        </is>
      </c>
    </row>
    <row r="6" ht="18" customHeight="1">
      <c r="A6" s="37" t="inlineStr">
        <is>
          <t>Excedente Neto Real</t>
        </is>
      </c>
      <c r="B6" s="38">
        <f>B4-B5</f>
        <v/>
      </c>
      <c r="C6" s="28">
        <f> Excedente negocio − Gastos familia</f>
        <v/>
      </c>
    </row>
    <row r="7" ht="18" customHeight="1">
      <c r="A7" s="39" t="inlineStr">
        <is>
          <t>Deudas actuales (cuota total)</t>
        </is>
      </c>
      <c r="B7" s="40">
        <f>FLUJO_MENSUAL!H31</f>
        <v/>
      </c>
      <c r="C7" s="28" t="inlineStr">
        <is>
          <t>Suma de créditos vigentes</t>
        </is>
      </c>
    </row>
    <row r="8" ht="18" customHeight="1">
      <c r="A8" s="37" t="inlineStr">
        <is>
          <t>Excedente Libre</t>
        </is>
      </c>
      <c r="B8" s="38">
        <f>B6-B7</f>
        <v/>
      </c>
      <c r="C8" s="28" t="inlineStr">
        <is>
          <t>Excedente neto − cuotas actuales</t>
        </is>
      </c>
    </row>
    <row r="10" ht="18" customHeight="1">
      <c r="A10" s="14" t="inlineStr">
        <is>
          <t>▶  CAPACIDAD DE PAGO</t>
        </is>
      </c>
    </row>
    <row r="11" ht="18" customHeight="1">
      <c r="A11" s="37" t="inlineStr">
        <is>
          <t>Cuota máxima (regla del 40%)</t>
        </is>
      </c>
      <c r="B11" s="38">
        <f>B6*0.4</f>
        <v/>
      </c>
      <c r="C11" s="28" t="inlineStr">
        <is>
          <t>Recomendado por mayoría de entidades</t>
        </is>
      </c>
    </row>
    <row r="12" ht="18" customHeight="1">
      <c r="A12" s="35" t="inlineStr">
        <is>
          <t>Cuota máxima (regla del 50%)</t>
        </is>
      </c>
      <c r="B12" s="36">
        <f>B6*0.5</f>
        <v/>
      </c>
      <c r="C12" s="28" t="inlineStr">
        <is>
          <t>Cajas más flexibles</t>
        </is>
      </c>
    </row>
    <row r="14" ht="18" customHeight="1">
      <c r="A14" s="14" t="inlineStr">
        <is>
          <t>▶  ¿CUÁNTO PUEDO PEDIR?</t>
        </is>
      </c>
    </row>
    <row r="15" ht="18" customHeight="1">
      <c r="A15" s="41" t="inlineStr">
        <is>
          <t>Ingresa la tasa mensual (%)</t>
        </is>
      </c>
      <c r="B15" s="27">
        <f>0.018</f>
        <v/>
      </c>
      <c r="C15" s="42" t="inlineStr">
        <is>
          <t>Ej: 1.8% mensual ≈ 21.6% anual</t>
        </is>
      </c>
    </row>
    <row r="16" ht="18" customHeight="1">
      <c r="A16" s="41" t="inlineStr">
        <is>
          <t>Ingresa el plazo en meses</t>
        </is>
      </c>
      <c r="B16" s="27">
        <f>12</f>
        <v/>
      </c>
      <c r="C16" s="42" t="inlineStr">
        <is>
          <t>Ej: 12, 18, 24, 36</t>
        </is>
      </c>
    </row>
    <row r="17" ht="18" customHeight="1">
      <c r="A17" s="37" t="inlineStr">
        <is>
          <t>Monto máximo estimado</t>
        </is>
      </c>
      <c r="B17" s="38">
        <f>IF(B14=0,0,B10*(1-(1+B13)^(-B14))/B13)</f>
        <v/>
      </c>
      <c r="C17" s="28" t="inlineStr">
        <is>
          <t>Cuota 40% × Factor VP — referencial</t>
        </is>
      </c>
    </row>
    <row r="19" ht="18" customHeight="1">
      <c r="A19" s="14" t="inlineStr">
        <is>
          <t>▶  SEMÁFORO DE VIABILIDAD</t>
        </is>
      </c>
    </row>
    <row r="20" ht="18" customHeight="1">
      <c r="A20" s="35" t="inlineStr">
        <is>
          <t>Estado del excedente libre</t>
        </is>
      </c>
      <c r="B20" s="36">
        <f>IF(B8&gt;0,"✅ POSITIVO — tienes capacidad de pago",IF(B8=0,"⚠️ EN CERO — riesgo alto","🚫 NEGATIVO — no recomendable"))</f>
        <v/>
      </c>
      <c r="C20" s="28" t="inlineStr"/>
    </row>
    <row r="21" ht="18" customHeight="1">
      <c r="A21" s="35" t="inlineStr">
        <is>
          <t>Cumple regla del 40%?</t>
        </is>
      </c>
      <c r="B21" s="36">
        <f>IF(B10&gt;0,"✅ SÍ — cuota máx. S/ "&amp;TEXT(B10,"#,##0.00"),"🚫 NO — ajusta el monto o plazo")</f>
        <v/>
      </c>
      <c r="C21" s="28" t="inlineStr"/>
    </row>
    <row r="23" ht="28" customHeight="1">
      <c r="A23" s="43" t="inlineStr">
        <is>
          <t>⚠️  Este cálculo es estimativo. El evaluador de la entidad financiera puede ajustar los valores según su metodología interna.</t>
        </is>
      </c>
    </row>
  </sheetData>
  <mergeCells count="7">
    <mergeCell ref="A10:C10"/>
    <mergeCell ref="A19:C19"/>
    <mergeCell ref="A1:C1"/>
    <mergeCell ref="A23:C23"/>
    <mergeCell ref="A14:C14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2026-10-29T12:52:36Z</dcterms:created>
  <dcterms:modified xmlns:dcterms="http://purl.org/dc/terms/" xmlns:xsi="http://www.w3.org/2001/XMLSchema-instance" xsi:type="dcterms:W3CDTF">2026-10-29T12:52:36Z</dcterms:modified>
</cp:coreProperties>
</file>